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os Crudos" sheetId="1" state="visible" r:id="rId1"/>
    <sheet xmlns:r="http://schemas.openxmlformats.org/officeDocument/2006/relationships" name="2. Tablas de Frecuencias" sheetId="2" state="visible" r:id="rId2"/>
    <sheet xmlns:r="http://schemas.openxmlformats.org/officeDocument/2006/relationships" name="3. Estadísticas" sheetId="3" state="visible" r:id="rId3"/>
    <sheet xmlns:r="http://schemas.openxmlformats.org/officeDocument/2006/relationships" name="4. Matriz de Priorización" sheetId="4" state="visible" r:id="rId4"/>
    <sheet xmlns:r="http://schemas.openxmlformats.org/officeDocument/2006/relationships" name="5. Lista de Requisitos" sheetId="5" state="visible" r:id="rId5"/>
    <sheet xmlns:r="http://schemas.openxmlformats.org/officeDocument/2006/relationships" name="6. Gráf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5A5A5A"/>
      <sz val="11"/>
    </font>
    <font>
      <name val="Arial"/>
      <b val="1"/>
      <color rgb="00FFFFFF"/>
      <sz val="12"/>
    </font>
    <font>
      <name val="Arial"/>
      <b val="1"/>
      <color rgb="00003DA5"/>
      <sz val="11"/>
    </font>
    <font>
      <name val="Arial"/>
      <b val="1"/>
      <color rgb="00000000"/>
      <sz val="11"/>
    </font>
    <font>
      <name val="Arial"/>
      <color rgb="005A5A5A"/>
      <sz val="10"/>
    </font>
    <font>
      <name val="Arial"/>
      <b val="1"/>
      <color rgb="00003DA5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217346"/>
      </patternFill>
    </fill>
    <fill>
      <patternFill patternType="solid">
        <fgColor rgb="00FFFFFF"/>
      </patternFill>
    </fill>
    <fill>
      <patternFill patternType="solid">
        <fgColor rgb="00F0FAF4"/>
      </patternFill>
    </fill>
    <fill>
      <patternFill patternType="solid">
        <fgColor rgb="001A5C38"/>
      </patternFill>
    </fill>
    <fill>
      <patternFill patternType="solid">
        <fgColor rgb="00FF6B00"/>
      </patternFill>
    </fill>
    <fill>
      <patternFill patternType="solid">
        <fgColor rgb="00FFF9E6"/>
      </patternFill>
    </fill>
    <fill>
      <patternFill patternType="solid">
        <fgColor rgb="00D6E4F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1734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Funcionalidades más solicitadas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'6. Gráficas'!B3</f>
            </strRef>
          </tx>
          <spPr>
            <a:solidFill xmlns:a="http://schemas.openxmlformats.org/drawingml/2006/main">
              <a:srgbClr val="217346"/>
            </a:solidFill>
            <a:ln xmlns:a="http://schemas.openxmlformats.org/drawingml/2006/main">
              <a:prstDash val="solid"/>
            </a:ln>
          </spPr>
          <cat>
            <numRef>
              <f>'6. Gráficas'!$A$4:$A$10</f>
            </numRef>
          </cat>
          <val>
            <numRef>
              <f>'6. Gráficas'!$B$4:$B$10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de menciones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Funcionalidad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participantes por Rol</a:t>
            </a:r>
          </a:p>
        </rich>
      </tx>
    </title>
    <plotArea>
      <pieChart>
        <varyColors val="1"/>
        <ser>
          <idx val="0"/>
          <order val="0"/>
          <tx>
            <strRef>
              <f>'6. Gráficas'!B14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'6. Gráficas'!$A$15:$A$18</f>
            </numRef>
          </cat>
          <val>
            <numRef>
              <f>'6. Gráficas'!$B$15:$B$18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diarias por participante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Gráficas'!B27</f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prstDash val="solid"/>
            </a:ln>
          </spPr>
          <cat>
            <numRef>
              <f>'6. Gráficas'!$A$28:$A$39</f>
            </numRef>
          </cat>
          <val>
            <numRef>
              <f>'6. Gráficas'!$B$28:$B$39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Ventas/día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28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34" customWidth="1" min="4" max="4"/>
    <col width="13" customWidth="1" min="5" max="5"/>
    <col width="20" customWidth="1" min="6" max="6"/>
    <col width="18" customWidth="1" min="7" max="7"/>
  </cols>
  <sheetData>
    <row r="1" ht="30" customHeight="1">
      <c r="A1" s="1" t="inlineStr">
        <is>
          <t>SUPERMERCADO LA ESQUINA — DATOS RECOLECTADOS (Encuesta + Entrevistas)</t>
        </is>
      </c>
    </row>
    <row r="2" ht="22" customHeight="1">
      <c r="A2" s="2" t="inlineStr">
        <is>
          <t>ID</t>
        </is>
      </c>
      <c r="B2" s="2" t="inlineStr">
        <is>
          <t>Participante</t>
        </is>
      </c>
      <c r="C2" s="2" t="inlineStr">
        <is>
          <t>Rol</t>
        </is>
      </c>
      <c r="D2" s="2" t="inlineStr">
        <is>
          <t>Funcionalidad más importante</t>
        </is>
      </c>
      <c r="E2" s="2" t="inlineStr">
        <is>
          <t>Ventas/día</t>
        </is>
      </c>
      <c r="F2" s="2" t="inlineStr">
        <is>
          <t>¿Factura electrónica?</t>
        </is>
      </c>
      <c r="G2" s="2" t="inlineStr">
        <is>
          <t>Medio de recolección</t>
        </is>
      </c>
    </row>
    <row r="3" ht="18" customHeight="1">
      <c r="A3" s="3" t="n">
        <v>1</v>
      </c>
      <c r="B3" s="4" t="inlineStr">
        <is>
          <t>Carlos R.</t>
        </is>
      </c>
      <c r="C3" s="4" t="inlineStr">
        <is>
          <t>Dueño</t>
        </is>
      </c>
      <c r="D3" s="4" t="inlineStr">
        <is>
          <t>Control de inventario</t>
        </is>
      </c>
      <c r="E3" s="3" t="n">
        <v>50</v>
      </c>
      <c r="F3" s="3" t="inlineStr">
        <is>
          <t>Sí</t>
        </is>
      </c>
      <c r="G3" s="3" t="inlineStr">
        <is>
          <t>Entrevista</t>
        </is>
      </c>
    </row>
    <row r="4" ht="18" customHeight="1">
      <c r="A4" s="5" t="n">
        <v>2</v>
      </c>
      <c r="B4" s="6" t="inlineStr">
        <is>
          <t>Martha R.</t>
        </is>
      </c>
      <c r="C4" s="6" t="inlineStr">
        <is>
          <t>Cajera</t>
        </is>
      </c>
      <c r="D4" s="6" t="inlineStr">
        <is>
          <t>Registro de ventas</t>
        </is>
      </c>
      <c r="E4" s="5" t="n">
        <v>50</v>
      </c>
      <c r="F4" s="5" t="inlineStr">
        <is>
          <t>No sé</t>
        </is>
      </c>
      <c r="G4" s="5" t="inlineStr">
        <is>
          <t>Encuesta</t>
        </is>
      </c>
    </row>
    <row r="5" ht="18" customHeight="1">
      <c r="A5" s="3" t="n">
        <v>3</v>
      </c>
      <c r="B5" s="4" t="inlineStr">
        <is>
          <t>Julián P.</t>
        </is>
      </c>
      <c r="C5" s="4" t="inlineStr">
        <is>
          <t>Empleado</t>
        </is>
      </c>
      <c r="D5" s="4" t="inlineStr">
        <is>
          <t>Registro de ventas</t>
        </is>
      </c>
      <c r="E5" s="3" t="n">
        <v>50</v>
      </c>
      <c r="F5" s="3" t="inlineStr">
        <is>
          <t>No me importa</t>
        </is>
      </c>
      <c r="G5" s="3" t="inlineStr">
        <is>
          <t>Encuesta</t>
        </is>
      </c>
    </row>
    <row r="6" ht="18" customHeight="1">
      <c r="A6" s="5" t="n">
        <v>4</v>
      </c>
      <c r="B6" s="6" t="inlineStr">
        <is>
          <t>Cliente 1</t>
        </is>
      </c>
      <c r="C6" s="6" t="inlineStr">
        <is>
          <t>Cliente</t>
        </is>
      </c>
      <c r="D6" s="6" t="inlineStr">
        <is>
          <t>Ver precios en pantalla</t>
        </is>
      </c>
      <c r="E6" s="7" t="n"/>
      <c r="F6" s="5" t="inlineStr">
        <is>
          <t>Sí</t>
        </is>
      </c>
      <c r="G6" s="5" t="inlineStr">
        <is>
          <t>Encuesta</t>
        </is>
      </c>
    </row>
    <row r="7" ht="18" customHeight="1">
      <c r="A7" s="3" t="n">
        <v>5</v>
      </c>
      <c r="B7" s="4" t="inlineStr">
        <is>
          <t>Cliente 2</t>
        </is>
      </c>
      <c r="C7" s="4" t="inlineStr">
        <is>
          <t>Cliente</t>
        </is>
      </c>
      <c r="D7" s="4" t="inlineStr">
        <is>
          <t>Pago con tarjeta</t>
        </is>
      </c>
      <c r="E7" s="8" t="n"/>
      <c r="F7" s="3" t="inlineStr">
        <is>
          <t>Sí</t>
        </is>
      </c>
      <c r="G7" s="3" t="inlineStr">
        <is>
          <t>Encuesta</t>
        </is>
      </c>
    </row>
    <row r="8" ht="18" customHeight="1">
      <c r="A8" s="5" t="n">
        <v>6</v>
      </c>
      <c r="B8" s="6" t="inlineStr">
        <is>
          <t>Pedro S.</t>
        </is>
      </c>
      <c r="C8" s="6" t="inlineStr">
        <is>
          <t>Dueño</t>
        </is>
      </c>
      <c r="D8" s="6" t="inlineStr">
        <is>
          <t>Control de inventario</t>
        </is>
      </c>
      <c r="E8" s="5" t="n">
        <v>65</v>
      </c>
      <c r="F8" s="5" t="inlineStr">
        <is>
          <t>Sí</t>
        </is>
      </c>
      <c r="G8" s="5" t="inlineStr">
        <is>
          <t>Entrevista</t>
        </is>
      </c>
    </row>
    <row r="9" ht="18" customHeight="1">
      <c r="A9" s="3" t="n">
        <v>7</v>
      </c>
      <c r="B9" s="4" t="inlineStr">
        <is>
          <t>Ana M.</t>
        </is>
      </c>
      <c r="C9" s="4" t="inlineStr">
        <is>
          <t>Cajera</t>
        </is>
      </c>
      <c r="D9" s="4" t="inlineStr">
        <is>
          <t>Registro de ventas</t>
        </is>
      </c>
      <c r="E9" s="3" t="n">
        <v>45</v>
      </c>
      <c r="F9" s="3" t="inlineStr">
        <is>
          <t>No</t>
        </is>
      </c>
      <c r="G9" s="3" t="inlineStr">
        <is>
          <t>Encuesta</t>
        </is>
      </c>
    </row>
    <row r="10" ht="18" customHeight="1">
      <c r="A10" s="5" t="n">
        <v>8</v>
      </c>
      <c r="B10" s="6" t="inlineStr">
        <is>
          <t>Luis G.</t>
        </is>
      </c>
      <c r="C10" s="6" t="inlineStr">
        <is>
          <t>Empleado</t>
        </is>
      </c>
      <c r="D10" s="6" t="inlineStr">
        <is>
          <t>Control de proveedores</t>
        </is>
      </c>
      <c r="E10" s="5" t="n">
        <v>45</v>
      </c>
      <c r="F10" s="5" t="inlineStr">
        <is>
          <t>No sé</t>
        </is>
      </c>
      <c r="G10" s="5" t="inlineStr">
        <is>
          <t>Encuesta</t>
        </is>
      </c>
    </row>
    <row r="11" ht="18" customHeight="1">
      <c r="A11" s="3" t="n">
        <v>9</v>
      </c>
      <c r="B11" s="4" t="inlineStr">
        <is>
          <t>Cliente 3</t>
        </is>
      </c>
      <c r="C11" s="4" t="inlineStr">
        <is>
          <t>Cliente</t>
        </is>
      </c>
      <c r="D11" s="4" t="inlineStr">
        <is>
          <t>Ver precios en pantalla</t>
        </is>
      </c>
      <c r="E11" s="8" t="n"/>
      <c r="F11" s="3" t="inlineStr">
        <is>
          <t>Sí</t>
        </is>
      </c>
      <c r="G11" s="3" t="inlineStr">
        <is>
          <t>Encuesta</t>
        </is>
      </c>
    </row>
    <row r="12" ht="18" customHeight="1">
      <c r="A12" s="5" t="n">
        <v>10</v>
      </c>
      <c r="B12" s="6" t="inlineStr">
        <is>
          <t>Cliente 4</t>
        </is>
      </c>
      <c r="C12" s="6" t="inlineStr">
        <is>
          <t>Cliente</t>
        </is>
      </c>
      <c r="D12" s="6" t="inlineStr">
        <is>
          <t>Pago con tarjeta</t>
        </is>
      </c>
      <c r="E12" s="7" t="n"/>
      <c r="F12" s="5" t="inlineStr">
        <is>
          <t>Sí</t>
        </is>
      </c>
      <c r="G12" s="5" t="inlineStr">
        <is>
          <t>Encuesta</t>
        </is>
      </c>
    </row>
    <row r="13" ht="18" customHeight="1">
      <c r="A13" s="3" t="n">
        <v>11</v>
      </c>
      <c r="B13" s="4" t="inlineStr">
        <is>
          <t>María T.</t>
        </is>
      </c>
      <c r="C13" s="4" t="inlineStr">
        <is>
          <t>Dueña</t>
        </is>
      </c>
      <c r="D13" s="4" t="inlineStr">
        <is>
          <t>Control de inventario</t>
        </is>
      </c>
      <c r="E13" s="3" t="n">
        <v>72</v>
      </c>
      <c r="F13" s="3" t="inlineStr">
        <is>
          <t>Sí</t>
        </is>
      </c>
      <c r="G13" s="3" t="inlineStr">
        <is>
          <t>Entrevista</t>
        </is>
      </c>
    </row>
    <row r="14" ht="18" customHeight="1">
      <c r="A14" s="5" t="n">
        <v>12</v>
      </c>
      <c r="B14" s="6" t="inlineStr">
        <is>
          <t>Rosa H.</t>
        </is>
      </c>
      <c r="C14" s="6" t="inlineStr">
        <is>
          <t>Cajera</t>
        </is>
      </c>
      <c r="D14" s="6" t="inlineStr">
        <is>
          <t>Factura electrónica</t>
        </is>
      </c>
      <c r="E14" s="5" t="n">
        <v>55</v>
      </c>
      <c r="F14" s="5" t="inlineStr">
        <is>
          <t>Sí</t>
        </is>
      </c>
      <c r="G14" s="5" t="inlineStr">
        <is>
          <t>Encuesta</t>
        </is>
      </c>
    </row>
    <row r="15" ht="18" customHeight="1">
      <c r="A15" s="3" t="n">
        <v>13</v>
      </c>
      <c r="B15" s="4" t="inlineStr">
        <is>
          <t>Jorge C.</t>
        </is>
      </c>
      <c r="C15" s="4" t="inlineStr">
        <is>
          <t>Empleado</t>
        </is>
      </c>
      <c r="D15" s="4" t="inlineStr">
        <is>
          <t>Registro de ventas</t>
        </is>
      </c>
      <c r="E15" s="3" t="n">
        <v>55</v>
      </c>
      <c r="F15" s="3" t="inlineStr">
        <is>
          <t>No</t>
        </is>
      </c>
      <c r="G15" s="3" t="inlineStr">
        <is>
          <t>Encuesta</t>
        </is>
      </c>
    </row>
    <row r="16" ht="18" customHeight="1">
      <c r="A16" s="5" t="n">
        <v>14</v>
      </c>
      <c r="B16" s="6" t="inlineStr">
        <is>
          <t>Cliente 5</t>
        </is>
      </c>
      <c r="C16" s="6" t="inlineStr">
        <is>
          <t>Cliente</t>
        </is>
      </c>
      <c r="D16" s="6" t="inlineStr">
        <is>
          <t>Pago con tarjeta</t>
        </is>
      </c>
      <c r="E16" s="7" t="n"/>
      <c r="F16" s="5" t="inlineStr">
        <is>
          <t>Sí</t>
        </is>
      </c>
      <c r="G16" s="5" t="inlineStr">
        <is>
          <t>Encuesta</t>
        </is>
      </c>
    </row>
    <row r="17" ht="18" customHeight="1">
      <c r="A17" s="3" t="n">
        <v>15</v>
      </c>
      <c r="B17" s="4" t="inlineStr">
        <is>
          <t>Cliente 6</t>
        </is>
      </c>
      <c r="C17" s="4" t="inlineStr">
        <is>
          <t>Cliente</t>
        </is>
      </c>
      <c r="D17" s="4" t="inlineStr">
        <is>
          <t>App para clientes</t>
        </is>
      </c>
      <c r="E17" s="8" t="n"/>
      <c r="F17" s="3" t="inlineStr">
        <is>
          <t>No</t>
        </is>
      </c>
      <c r="G17" s="3" t="inlineStr">
        <is>
          <t>Encuesta</t>
        </is>
      </c>
    </row>
    <row r="18" ht="18" customHeight="1">
      <c r="A18" s="5" t="n">
        <v>16</v>
      </c>
      <c r="B18" s="6" t="inlineStr">
        <is>
          <t>Andrés V.</t>
        </is>
      </c>
      <c r="C18" s="6" t="inlineStr">
        <is>
          <t>Dueño</t>
        </is>
      </c>
      <c r="D18" s="6" t="inlineStr">
        <is>
          <t>Registro de ventas</t>
        </is>
      </c>
      <c r="E18" s="5" t="n">
        <v>89</v>
      </c>
      <c r="F18" s="5" t="inlineStr">
        <is>
          <t>Sí</t>
        </is>
      </c>
      <c r="G18" s="5" t="inlineStr">
        <is>
          <t>Entrevista</t>
        </is>
      </c>
    </row>
    <row r="19" ht="18" customHeight="1">
      <c r="A19" s="3" t="n">
        <v>17</v>
      </c>
      <c r="B19" s="4" t="inlineStr">
        <is>
          <t>Clara B.</t>
        </is>
      </c>
      <c r="C19" s="4" t="inlineStr">
        <is>
          <t>Cajera</t>
        </is>
      </c>
      <c r="D19" s="4" t="inlineStr">
        <is>
          <t>Control de inventario</t>
        </is>
      </c>
      <c r="E19" s="3" t="n">
        <v>22</v>
      </c>
      <c r="F19" s="3" t="inlineStr">
        <is>
          <t>No sé</t>
        </is>
      </c>
      <c r="G19" s="3" t="inlineStr">
        <is>
          <t>Encuesta</t>
        </is>
      </c>
    </row>
    <row r="20" ht="18" customHeight="1">
      <c r="A20" s="5" t="n">
        <v>18</v>
      </c>
      <c r="B20" s="6" t="inlineStr">
        <is>
          <t>Fernando L.</t>
        </is>
      </c>
      <c r="C20" s="6" t="inlineStr">
        <is>
          <t>Empleado</t>
        </is>
      </c>
      <c r="D20" s="6" t="inlineStr">
        <is>
          <t>Registro de ventas</t>
        </is>
      </c>
      <c r="E20" s="5" t="n">
        <v>60</v>
      </c>
      <c r="F20" s="5" t="inlineStr">
        <is>
          <t>No</t>
        </is>
      </c>
      <c r="G20" s="5" t="inlineStr">
        <is>
          <t>Encuesta</t>
        </is>
      </c>
    </row>
    <row r="21" ht="18" customHeight="1">
      <c r="A21" s="3" t="n">
        <v>19</v>
      </c>
      <c r="B21" s="4" t="inlineStr">
        <is>
          <t>Cliente 7</t>
        </is>
      </c>
      <c r="C21" s="4" t="inlineStr">
        <is>
          <t>Cliente</t>
        </is>
      </c>
      <c r="D21" s="4" t="inlineStr">
        <is>
          <t>Ver precios en pantalla</t>
        </is>
      </c>
      <c r="E21" s="8" t="n"/>
      <c r="F21" s="3" t="inlineStr">
        <is>
          <t>Sí</t>
        </is>
      </c>
      <c r="G21" s="3" t="inlineStr">
        <is>
          <t>Encuesta</t>
        </is>
      </c>
    </row>
    <row r="22" ht="18" customHeight="1">
      <c r="A22" s="5" t="n">
        <v>20</v>
      </c>
      <c r="B22" s="6" t="inlineStr">
        <is>
          <t>Cliente 8</t>
        </is>
      </c>
      <c r="C22" s="6" t="inlineStr">
        <is>
          <t>Cliente</t>
        </is>
      </c>
      <c r="D22" s="6" t="inlineStr">
        <is>
          <t>App para clientes</t>
        </is>
      </c>
      <c r="E22" s="7" t="n"/>
      <c r="F22" s="5" t="inlineStr">
        <is>
          <t>Sí</t>
        </is>
      </c>
      <c r="G22" s="5" t="inlineStr">
        <is>
          <t>Encuesta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8" customWidth="1" min="4" max="4"/>
    <col width="20" customWidth="1" min="5" max="5"/>
  </cols>
  <sheetData>
    <row r="1" ht="30" customHeight="1">
      <c r="A1" s="1" t="inlineStr">
        <is>
          <t>TABLAS DE FRECUENCIAS — Supermercado La Esquina</t>
        </is>
      </c>
    </row>
    <row r="2" ht="20" customHeight="1">
      <c r="A2" s="9" t="inlineStr">
        <is>
          <t>TABLA A — Funcionalidades más solicitadas</t>
        </is>
      </c>
    </row>
    <row r="3" ht="22" customHeight="1">
      <c r="A3" s="2" t="inlineStr">
        <is>
          <t>Funcionalidad</t>
        </is>
      </c>
      <c r="B3" s="2" t="inlineStr">
        <is>
          <t>Conteo</t>
        </is>
      </c>
      <c r="C3" s="2" t="inlineStr">
        <is>
          <t>Frecuencia Relativa (%)</t>
        </is>
      </c>
      <c r="D3" s="2" t="inlineStr">
        <is>
          <t>Frecuencia Acumulada</t>
        </is>
      </c>
      <c r="E3" s="2" t="inlineStr">
        <is>
          <t>Interpretación</t>
        </is>
      </c>
    </row>
    <row r="5">
      <c r="A5" s="4" t="inlineStr">
        <is>
          <t>Registro de ventas</t>
        </is>
      </c>
      <c r="B5" s="3" t="n">
        <v>8</v>
      </c>
      <c r="C5" s="10">
        <f>B5/20*100</f>
        <v/>
      </c>
      <c r="D5" s="3">
        <f>C5</f>
        <v/>
      </c>
      <c r="E5" s="4" t="inlineStr">
        <is>
          <t>Requisito CRÍTICO — mayor demanda</t>
        </is>
      </c>
    </row>
    <row r="6">
      <c r="A6" s="6" t="inlineStr">
        <is>
          <t>Control de inventario</t>
        </is>
      </c>
      <c r="B6" s="5" t="n">
        <v>5</v>
      </c>
      <c r="C6" s="11">
        <f>B6/20*100</f>
        <v/>
      </c>
      <c r="D6" s="5">
        <f>D5+C6</f>
        <v/>
      </c>
      <c r="E6" s="6" t="inlineStr">
        <is>
          <t>Requisito CRÍTICO — mencionado en entrevistas</t>
        </is>
      </c>
    </row>
    <row r="7">
      <c r="A7" s="4" t="inlineStr">
        <is>
          <t>Ver precios en pantalla</t>
        </is>
      </c>
      <c r="B7" s="3" t="n">
        <v>3</v>
      </c>
      <c r="C7" s="10">
        <f>B7/20*100</f>
        <v/>
      </c>
      <c r="D7" s="3">
        <f>D6+C7</f>
        <v/>
      </c>
      <c r="E7" s="4" t="inlineStr">
        <is>
          <t>Requisito IMPORTANTE — clientes</t>
        </is>
      </c>
    </row>
    <row r="8">
      <c r="A8" s="6" t="inlineStr">
        <is>
          <t>Pago con tarjeta</t>
        </is>
      </c>
      <c r="B8" s="5" t="n">
        <v>3</v>
      </c>
      <c r="C8" s="11">
        <f>B8/20*100</f>
        <v/>
      </c>
      <c r="D8" s="5">
        <f>D7+C8</f>
        <v/>
      </c>
      <c r="E8" s="6" t="inlineStr">
        <is>
          <t>Requisito IMPORTANTE — clientes</t>
        </is>
      </c>
    </row>
    <row r="9">
      <c r="A9" s="4" t="inlineStr">
        <is>
          <t>Factura electrónica</t>
        </is>
      </c>
      <c r="B9" s="3" t="n">
        <v>1</v>
      </c>
      <c r="C9" s="10">
        <f>B9/20*100</f>
        <v/>
      </c>
      <c r="D9" s="3">
        <f>D8+C9</f>
        <v/>
      </c>
      <c r="E9" s="4" t="inlineStr">
        <is>
          <t>Deseable — explorar en Fase 2</t>
        </is>
      </c>
    </row>
    <row r="10">
      <c r="A10" s="6" t="inlineStr">
        <is>
          <t>Control de proveedores</t>
        </is>
      </c>
      <c r="B10" s="5" t="n">
        <v>1</v>
      </c>
      <c r="C10" s="11">
        <f>B10/20*100</f>
        <v/>
      </c>
      <c r="D10" s="5">
        <f>D9+C10</f>
        <v/>
      </c>
      <c r="E10" s="6" t="inlineStr">
        <is>
          <t>Deseable — necesidad identificada</t>
        </is>
      </c>
    </row>
    <row r="11">
      <c r="A11" s="4" t="inlineStr">
        <is>
          <t>App para clientes</t>
        </is>
      </c>
      <c r="B11" s="3" t="n">
        <v>2</v>
      </c>
      <c r="C11" s="10">
        <f>B11/20*100</f>
        <v/>
      </c>
      <c r="D11" s="3">
        <f>D10+C11</f>
        <v/>
      </c>
      <c r="E11" s="4" t="inlineStr">
        <is>
          <t>Opcional — fase futura</t>
        </is>
      </c>
    </row>
    <row r="12" ht="18" customHeight="1">
      <c r="A12" s="12" t="inlineStr">
        <is>
          <t>TOTAL</t>
        </is>
      </c>
      <c r="B12" s="13" t="n">
        <v>20</v>
      </c>
      <c r="C12" s="13">
        <f>SUM(C5:C11)</f>
        <v/>
      </c>
      <c r="D12" s="13" t="inlineStr"/>
      <c r="E12" s="12" t="inlineStr"/>
    </row>
    <row r="14">
      <c r="A14" s="14" t="inlineStr">
        <is>
          <t>TABLA B — Distribución de participantes por Rol</t>
        </is>
      </c>
    </row>
    <row r="15">
      <c r="A15" s="2" t="inlineStr">
        <is>
          <t>Rol</t>
        </is>
      </c>
      <c r="B15" s="2" t="inlineStr">
        <is>
          <t># Participantes</t>
        </is>
      </c>
      <c r="C15" s="2" t="inlineStr">
        <is>
          <t>% del Total</t>
        </is>
      </c>
      <c r="D15" s="2" t="inlineStr">
        <is>
          <t>Tipo de datos aportados</t>
        </is>
      </c>
      <c r="E15" s="2" t="inlineStr">
        <is>
          <t>Relevancia</t>
        </is>
      </c>
    </row>
    <row r="16">
      <c r="A16" s="6" t="inlineStr">
        <is>
          <t>Dueño/a</t>
        </is>
      </c>
      <c r="B16" s="5" t="n">
        <v>4</v>
      </c>
      <c r="C16" s="5">
        <f>B17/20*100</f>
        <v/>
      </c>
      <c r="D16" s="6" t="inlineStr">
        <is>
          <t>Entrevistas + encuesta</t>
        </is>
      </c>
      <c r="E16" s="6" t="inlineStr">
        <is>
          <t>Alta — decisores del sistema</t>
        </is>
      </c>
    </row>
    <row r="17">
      <c r="A17" s="4" t="inlineStr">
        <is>
          <t>Cajera</t>
        </is>
      </c>
      <c r="B17" s="3" t="n">
        <v>4</v>
      </c>
      <c r="C17" s="3">
        <f>B18/20*100</f>
        <v/>
      </c>
      <c r="D17" s="4" t="inlineStr">
        <is>
          <t>Encuesta</t>
        </is>
      </c>
      <c r="E17" s="4" t="inlineStr">
        <is>
          <t>Alta — usuarios directos</t>
        </is>
      </c>
    </row>
    <row r="18">
      <c r="A18" s="6" t="inlineStr">
        <is>
          <t>Empleado</t>
        </is>
      </c>
      <c r="B18" s="5" t="n">
        <v>3</v>
      </c>
      <c r="C18" s="5">
        <f>B19/20*100</f>
        <v/>
      </c>
      <c r="D18" s="6" t="inlineStr">
        <is>
          <t>Encuesta</t>
        </is>
      </c>
      <c r="E18" s="6" t="inlineStr">
        <is>
          <t>Media — usuarios secundarios</t>
        </is>
      </c>
    </row>
    <row r="19">
      <c r="A19" s="4" t="inlineStr">
        <is>
          <t>Cliente</t>
        </is>
      </c>
      <c r="B19" s="3" t="n">
        <v>8</v>
      </c>
      <c r="C19" s="3">
        <f>B20/20*100</f>
        <v/>
      </c>
      <c r="D19" s="4" t="inlineStr">
        <is>
          <t>Encuesta</t>
        </is>
      </c>
      <c r="E19" s="4" t="inlineStr">
        <is>
          <t>Media — usuarios externos</t>
        </is>
      </c>
    </row>
    <row r="20">
      <c r="A20" s="12" t="inlineStr">
        <is>
          <t>TOTAL</t>
        </is>
      </c>
      <c r="B20" s="13" t="n">
        <v>20</v>
      </c>
      <c r="C20" s="13">
        <f>SUM(C17:C20)</f>
        <v/>
      </c>
      <c r="D20" s="12" t="inlineStr"/>
      <c r="E20" s="12" t="inlineStr"/>
    </row>
    <row r="23">
      <c r="A23" s="15" t="inlineStr">
        <is>
          <t>TABLA C — Opinión sobre Factura Electrónica</t>
        </is>
      </c>
    </row>
    <row r="24">
      <c r="A24" s="2" t="inlineStr">
        <is>
          <t>Respuesta</t>
        </is>
      </c>
      <c r="B24" s="2" t="inlineStr">
        <is>
          <t>Conteo</t>
        </is>
      </c>
      <c r="C24" s="2" t="inlineStr">
        <is>
          <t>% del Total</t>
        </is>
      </c>
      <c r="D24" s="2" t="inlineStr">
        <is>
          <t>Interpretación</t>
        </is>
      </c>
      <c r="E24" s="2" t="inlineStr"/>
    </row>
    <row r="25">
      <c r="A25" s="4" t="inlineStr">
        <is>
          <t>Sí</t>
        </is>
      </c>
      <c r="B25" s="3" t="n">
        <v>9</v>
      </c>
      <c r="C25" s="3">
        <f>B26/20*100</f>
        <v/>
      </c>
      <c r="D25" s="4" t="inlineStr">
        <is>
          <t>45% a favor — módulo a incluir</t>
        </is>
      </c>
    </row>
    <row r="26">
      <c r="A26" s="6" t="inlineStr">
        <is>
          <t>No</t>
        </is>
      </c>
      <c r="B26" s="5" t="n">
        <v>3</v>
      </c>
      <c r="C26" s="5">
        <f>B27/20*100</f>
        <v/>
      </c>
      <c r="D26" s="6" t="inlineStr">
        <is>
          <t>15% en contra</t>
        </is>
      </c>
    </row>
    <row r="27">
      <c r="A27" s="4" t="inlineStr">
        <is>
          <t>No sé / No importa</t>
        </is>
      </c>
      <c r="B27" s="3" t="n">
        <v>8</v>
      </c>
      <c r="C27" s="3">
        <f>B28/20*100</f>
        <v/>
      </c>
      <c r="D27" s="4" t="inlineStr">
        <is>
          <t>40% indiferente — necesita capacitación</t>
        </is>
      </c>
    </row>
    <row r="28">
      <c r="A28" s="12" t="inlineStr">
        <is>
          <t>TOTAL</t>
        </is>
      </c>
      <c r="B28" s="13" t="n">
        <v>20</v>
      </c>
      <c r="C28" s="13">
        <f>SUM(C26:C28)</f>
        <v/>
      </c>
      <c r="D28" s="12" t="inlineStr"/>
    </row>
  </sheetData>
  <mergeCells count="4">
    <mergeCell ref="A2:E2"/>
    <mergeCell ref="A14:E14"/>
    <mergeCell ref="A23:E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" customWidth="1" min="4" max="4"/>
    <col width="30" customWidth="1" min="5" max="5"/>
    <col width="20" customWidth="1" min="6" max="6"/>
  </cols>
  <sheetData>
    <row r="1" ht="30" customHeight="1">
      <c r="A1" s="1" t="inlineStr">
        <is>
          <t>ESTADÍSTICAS DESCRIPTIVAS — Ventas Diarias y Análisis Numérico</t>
        </is>
      </c>
    </row>
    <row r="2" ht="18" customHeight="1">
      <c r="A2" s="16" t="inlineStr">
        <is>
          <t>Datos de Ventas Diarias (participantes que reportaron cifras)</t>
        </is>
      </c>
      <c r="E2" s="9" t="inlineStr">
        <is>
          <t>RESUMEN ESTADÍSTICO</t>
        </is>
      </c>
    </row>
    <row r="3" ht="18" customHeight="1">
      <c r="A3" s="2" t="inlineStr">
        <is>
          <t>Participante</t>
        </is>
      </c>
      <c r="B3" s="2" t="inlineStr">
        <is>
          <t>Rol</t>
        </is>
      </c>
      <c r="C3" s="2" t="inlineStr">
        <is>
          <t>Ventas/día</t>
        </is>
      </c>
      <c r="E3" s="2" t="inlineStr">
        <is>
          <t>Métrica</t>
        </is>
      </c>
      <c r="F3" s="2" t="inlineStr">
        <is>
          <t>Valor</t>
        </is>
      </c>
    </row>
    <row r="4" ht="18" customHeight="1">
      <c r="A4" s="6" t="inlineStr">
        <is>
          <t>Carlos R.</t>
        </is>
      </c>
      <c r="B4" s="6" t="inlineStr">
        <is>
          <t>Dueño</t>
        </is>
      </c>
      <c r="C4" s="5" t="n">
        <v>50</v>
      </c>
      <c r="E4" s="17" t="inlineStr">
        <is>
          <t>Promedio de ventas/día</t>
        </is>
      </c>
      <c r="F4" s="6">
        <f>AVERAGE(C4:C15)</f>
        <v/>
      </c>
    </row>
    <row r="5" ht="18" customHeight="1">
      <c r="A5" s="4" t="inlineStr">
        <is>
          <t>Martha R.</t>
        </is>
      </c>
      <c r="B5" s="4" t="inlineStr">
        <is>
          <t>Cajera</t>
        </is>
      </c>
      <c r="C5" s="3" t="n">
        <v>50</v>
      </c>
      <c r="E5" s="18" t="inlineStr">
        <is>
          <t>Ventas mínimas registradas</t>
        </is>
      </c>
      <c r="F5" s="4">
        <f>MIN(C4:C15)</f>
        <v/>
      </c>
    </row>
    <row r="6" ht="18" customHeight="1">
      <c r="A6" s="6" t="inlineStr">
        <is>
          <t>Julián P.</t>
        </is>
      </c>
      <c r="B6" s="6" t="inlineStr">
        <is>
          <t>Empleado</t>
        </is>
      </c>
      <c r="C6" s="5" t="n">
        <v>50</v>
      </c>
      <c r="E6" s="17" t="inlineStr">
        <is>
          <t>Ventas máximas registradas</t>
        </is>
      </c>
      <c r="F6" s="6">
        <f>MAX(C4:C15)</f>
        <v/>
      </c>
    </row>
    <row r="7" ht="18" customHeight="1">
      <c r="A7" s="4" t="inlineStr">
        <is>
          <t>Pedro S.</t>
        </is>
      </c>
      <c r="B7" s="4" t="inlineStr">
        <is>
          <t>Dueño</t>
        </is>
      </c>
      <c r="C7" s="3" t="n">
        <v>65</v>
      </c>
      <c r="E7" s="18" t="inlineStr">
        <is>
          <t>Mediana</t>
        </is>
      </c>
      <c r="F7" s="4">
        <f>MEDIAN(C4:C15)</f>
        <v/>
      </c>
    </row>
    <row r="8" ht="18" customHeight="1">
      <c r="A8" s="6" t="inlineStr">
        <is>
          <t>Ana M.</t>
        </is>
      </c>
      <c r="B8" s="6" t="inlineStr">
        <is>
          <t>Cajera</t>
        </is>
      </c>
      <c r="C8" s="5" t="n">
        <v>45</v>
      </c>
      <c r="E8" s="17" t="inlineStr">
        <is>
          <t>Desviación estándar</t>
        </is>
      </c>
      <c r="F8" s="6">
        <f>STDEV(C4:C15)</f>
        <v/>
      </c>
    </row>
    <row r="9" ht="18" customHeight="1">
      <c r="A9" s="4" t="inlineStr">
        <is>
          <t>Luis G.</t>
        </is>
      </c>
      <c r="B9" s="4" t="inlineStr">
        <is>
          <t>Empleado</t>
        </is>
      </c>
      <c r="C9" s="3" t="n">
        <v>45</v>
      </c>
      <c r="E9" s="18" t="inlineStr">
        <is>
          <t>Total participantes</t>
        </is>
      </c>
      <c r="F9" s="4">
        <f>COUNTA(A4:A15)</f>
        <v/>
      </c>
    </row>
    <row r="10" ht="18" customHeight="1">
      <c r="A10" s="6" t="inlineStr">
        <is>
          <t>María T.</t>
        </is>
      </c>
      <c r="B10" s="6" t="inlineStr">
        <is>
          <t>Dueña</t>
        </is>
      </c>
      <c r="C10" s="5" t="n">
        <v>72</v>
      </c>
      <c r="E10" s="17" t="inlineStr">
        <is>
          <t>Total ventas (suma)</t>
        </is>
      </c>
      <c r="F10" s="6">
        <f>SUM(C4:C15)</f>
        <v/>
      </c>
    </row>
    <row r="11" ht="18" customHeight="1">
      <c r="A11" s="4" t="inlineStr">
        <is>
          <t>Rosa H.</t>
        </is>
      </c>
      <c r="B11" s="4" t="inlineStr">
        <is>
          <t>Cajera</t>
        </is>
      </c>
      <c r="C11" s="3" t="n">
        <v>55</v>
      </c>
      <c r="E11" s="18" t="inlineStr">
        <is>
          <t>Capacidad mínima sistema</t>
        </is>
      </c>
      <c r="F11" s="4">
        <f>MAX(C4:C15)*1.2</f>
        <v/>
      </c>
    </row>
    <row r="12" ht="18" customHeight="1">
      <c r="A12" s="6" t="inlineStr">
        <is>
          <t>Jorge C.</t>
        </is>
      </c>
      <c r="B12" s="6" t="inlineStr">
        <is>
          <t>Empleado</t>
        </is>
      </c>
      <c r="C12" s="5" t="n">
        <v>55</v>
      </c>
    </row>
    <row r="13" ht="18" customHeight="1">
      <c r="A13" s="4" t="inlineStr">
        <is>
          <t>Andrés V.</t>
        </is>
      </c>
      <c r="B13" s="4" t="inlineStr">
        <is>
          <t>Dueño</t>
        </is>
      </c>
      <c r="C13" s="3" t="n">
        <v>89</v>
      </c>
      <c r="E13" s="19" t="inlineStr">
        <is>
          <t>INTERPRETACIÓN: El sistema debe soportar al menos 107 transacciones/día (máximo registrado x 1.2 como margen). La carga pico es de 89 ventas/día. El promedio de 54.8 define el dimensionamiento base del servidor.</t>
        </is>
      </c>
    </row>
    <row r="14" ht="18" customHeight="1">
      <c r="A14" s="6" t="inlineStr">
        <is>
          <t>Clara B.</t>
        </is>
      </c>
      <c r="B14" s="6" t="inlineStr">
        <is>
          <t>Cajera</t>
        </is>
      </c>
      <c r="C14" s="5" t="n">
        <v>22</v>
      </c>
    </row>
    <row r="15" ht="18" customHeight="1">
      <c r="A15" s="4" t="inlineStr">
        <is>
          <t>Fernando L.</t>
        </is>
      </c>
      <c r="B15" s="4" t="inlineStr">
        <is>
          <t>Empleado</t>
        </is>
      </c>
      <c r="C15" s="3" t="n">
        <v>60</v>
      </c>
    </row>
    <row r="16" ht="18" customHeight="1"/>
    <row r="17" ht="18" customHeight="1"/>
    <row r="18" ht="18" customHeight="1"/>
    <row r="19" ht="18" customHeight="1"/>
  </sheetData>
  <mergeCells count="3">
    <mergeCell ref="E13:F15"/>
    <mergeCell ref="E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</cols>
  <sheetData>
    <row r="1" ht="30" customHeight="1">
      <c r="A1" s="1" t="inlineStr">
        <is>
          <t>MATRIZ DE PRIORIZACIÓN DE REQUISITOS — Supermercado La Esquina</t>
        </is>
      </c>
    </row>
    <row r="2" ht="30" customHeight="1">
      <c r="A2" s="2" t="inlineStr">
        <is>
          <t>ID</t>
        </is>
      </c>
      <c r="B2" s="2" t="inlineStr">
        <is>
          <t>Requisito</t>
        </is>
      </c>
      <c r="C2" s="2" t="inlineStr">
        <is>
          <t>Módulo</t>
        </is>
      </c>
      <c r="D2" s="2" t="inlineStr">
        <is>
          <t>Importancia
(1-5)</t>
        </is>
      </c>
      <c r="E2" s="2" t="inlineStr">
        <is>
          <t>Urgencia
(1-5)</t>
        </is>
      </c>
      <c r="F2" s="2" t="inlineStr">
        <is>
          <t>Prioridad
(I × U)</t>
        </is>
      </c>
      <c r="G2" s="2" t="inlineStr">
        <is>
          <t>Nivel</t>
        </is>
      </c>
      <c r="H2" s="2" t="inlineStr">
        <is>
          <t>Fase</t>
        </is>
      </c>
    </row>
    <row r="3" ht="20" customHeight="1">
      <c r="A3" s="3" t="inlineStr">
        <is>
          <t>REQ-001</t>
        </is>
      </c>
      <c r="B3" s="4" t="inlineStr">
        <is>
          <t>Registro de ventas en tiempo real</t>
        </is>
      </c>
      <c r="C3" s="4" t="inlineStr">
        <is>
          <t>Ventas</t>
        </is>
      </c>
      <c r="D3" s="3" t="n">
        <v>5</v>
      </c>
      <c r="E3" s="3" t="n">
        <v>5</v>
      </c>
      <c r="F3" s="3">
        <f>D3*E3</f>
        <v/>
      </c>
      <c r="G3" s="4" t="inlineStr">
        <is>
          <t>🔴 CRÍTICO</t>
        </is>
      </c>
      <c r="H3" s="3" t="inlineStr">
        <is>
          <t>MVP</t>
        </is>
      </c>
    </row>
    <row r="4" ht="20" customHeight="1">
      <c r="A4" s="5" t="inlineStr">
        <is>
          <t>REQ-002</t>
        </is>
      </c>
      <c r="B4" s="6" t="inlineStr">
        <is>
          <t>Control de inventario y stock</t>
        </is>
      </c>
      <c r="C4" s="6" t="inlineStr">
        <is>
          <t>Inventario</t>
        </is>
      </c>
      <c r="D4" s="5" t="n">
        <v>5</v>
      </c>
      <c r="E4" s="5" t="n">
        <v>4</v>
      </c>
      <c r="F4" s="5">
        <f>D4*E4</f>
        <v/>
      </c>
      <c r="G4" s="6" t="inlineStr">
        <is>
          <t>🔴 CRÍTICO</t>
        </is>
      </c>
      <c r="H4" s="5" t="inlineStr">
        <is>
          <t>MVP</t>
        </is>
      </c>
    </row>
    <row r="5" ht="20" customHeight="1">
      <c r="A5" s="3" t="inlineStr">
        <is>
          <t>REQ-003</t>
        </is>
      </c>
      <c r="B5" s="4" t="inlineStr">
        <is>
          <t>Gestión de usuarios y roles</t>
        </is>
      </c>
      <c r="C5" s="4" t="inlineStr">
        <is>
          <t>Seguridad</t>
        </is>
      </c>
      <c r="D5" s="3" t="n">
        <v>4</v>
      </c>
      <c r="E5" s="3" t="n">
        <v>4</v>
      </c>
      <c r="F5" s="3">
        <f>D5*E5</f>
        <v/>
      </c>
      <c r="G5" s="4" t="inlineStr">
        <is>
          <t>🟠 ALTO</t>
        </is>
      </c>
      <c r="H5" s="3" t="inlineStr">
        <is>
          <t>MVP</t>
        </is>
      </c>
    </row>
    <row r="6" ht="20" customHeight="1">
      <c r="A6" s="5" t="inlineStr">
        <is>
          <t>REQ-004</t>
        </is>
      </c>
      <c r="B6" s="6" t="inlineStr">
        <is>
          <t>Alertas de stock mínimo</t>
        </is>
      </c>
      <c r="C6" s="6" t="inlineStr">
        <is>
          <t>Inventario</t>
        </is>
      </c>
      <c r="D6" s="5" t="n">
        <v>4</v>
      </c>
      <c r="E6" s="5" t="n">
        <v>4</v>
      </c>
      <c r="F6" s="5">
        <f>D6*E6</f>
        <v/>
      </c>
      <c r="G6" s="6" t="inlineStr">
        <is>
          <t>🟠 ALTO</t>
        </is>
      </c>
      <c r="H6" s="5" t="inlineStr">
        <is>
          <t>MVP</t>
        </is>
      </c>
    </row>
    <row r="7" ht="20" customHeight="1">
      <c r="A7" s="3" t="inlineStr">
        <is>
          <t>REQ-005</t>
        </is>
      </c>
      <c r="B7" s="4" t="inlineStr">
        <is>
          <t>Reportes de ventas diarias</t>
        </is>
      </c>
      <c r="C7" s="4" t="inlineStr">
        <is>
          <t>Ventas</t>
        </is>
      </c>
      <c r="D7" s="3" t="n">
        <v>4</v>
      </c>
      <c r="E7" s="3" t="n">
        <v>3</v>
      </c>
      <c r="F7" s="3">
        <f>D7*E7</f>
        <v/>
      </c>
      <c r="G7" s="4" t="inlineStr">
        <is>
          <t>🟠 ALTO</t>
        </is>
      </c>
      <c r="H7" s="3" t="inlineStr">
        <is>
          <t>MVP</t>
        </is>
      </c>
    </row>
    <row r="8" ht="20" customHeight="1">
      <c r="A8" s="5" t="inlineStr">
        <is>
          <t>REQ-006</t>
        </is>
      </c>
      <c r="B8" s="6" t="inlineStr">
        <is>
          <t>Factura electrónica</t>
        </is>
      </c>
      <c r="C8" s="6" t="inlineStr">
        <is>
          <t>Facturación</t>
        </is>
      </c>
      <c r="D8" s="5" t="n">
        <v>3</v>
      </c>
      <c r="E8" s="5" t="n">
        <v>3</v>
      </c>
      <c r="F8" s="5">
        <f>D8*E8</f>
        <v/>
      </c>
      <c r="G8" s="6" t="inlineStr">
        <is>
          <t>🟡 MEDIO</t>
        </is>
      </c>
      <c r="H8" s="5" t="inlineStr">
        <is>
          <t>Fase 2</t>
        </is>
      </c>
    </row>
    <row r="9" ht="20" customHeight="1">
      <c r="A9" s="3" t="inlineStr">
        <is>
          <t>REQ-007</t>
        </is>
      </c>
      <c r="B9" s="4" t="inlineStr">
        <is>
          <t>Control de proveedores</t>
        </is>
      </c>
      <c r="C9" s="4" t="inlineStr">
        <is>
          <t>Proveedores</t>
        </is>
      </c>
      <c r="D9" s="3" t="n">
        <v>3</v>
      </c>
      <c r="E9" s="3" t="n">
        <v>2</v>
      </c>
      <c r="F9" s="3">
        <f>D9*E9</f>
        <v/>
      </c>
      <c r="G9" s="4" t="inlineStr">
        <is>
          <t>🟡 MEDIO</t>
        </is>
      </c>
      <c r="H9" s="3" t="inlineStr">
        <is>
          <t>Fase 2</t>
        </is>
      </c>
    </row>
    <row r="10" ht="20" customHeight="1">
      <c r="A10" s="5" t="inlineStr">
        <is>
          <t>REQ-008</t>
        </is>
      </c>
      <c r="B10" s="6" t="inlineStr">
        <is>
          <t>Visualización de precios (pantallas)</t>
        </is>
      </c>
      <c r="C10" s="6" t="inlineStr">
        <is>
          <t>Clientes</t>
        </is>
      </c>
      <c r="D10" s="5" t="n">
        <v>3</v>
      </c>
      <c r="E10" s="5" t="n">
        <v>3</v>
      </c>
      <c r="F10" s="5">
        <f>D10*E10</f>
        <v/>
      </c>
      <c r="G10" s="6" t="inlineStr">
        <is>
          <t>🟡 MEDIO</t>
        </is>
      </c>
      <c r="H10" s="5" t="inlineStr">
        <is>
          <t>Fase 2</t>
        </is>
      </c>
    </row>
    <row r="11" ht="20" customHeight="1">
      <c r="A11" s="3" t="inlineStr">
        <is>
          <t>REQ-009</t>
        </is>
      </c>
      <c r="B11" s="4" t="inlineStr">
        <is>
          <t>Soporte pago con tarjeta</t>
        </is>
      </c>
      <c r="C11" s="4" t="inlineStr">
        <is>
          <t>Ventas</t>
        </is>
      </c>
      <c r="D11" s="3" t="n">
        <v>4</v>
      </c>
      <c r="E11" s="3" t="n">
        <v>3</v>
      </c>
      <c r="F11" s="3">
        <f>D11*E11</f>
        <v/>
      </c>
      <c r="G11" s="4" t="inlineStr">
        <is>
          <t>🟠 ALTO</t>
        </is>
      </c>
      <c r="H11" s="3" t="inlineStr">
        <is>
          <t>MVP</t>
        </is>
      </c>
    </row>
    <row r="12" ht="20" customHeight="1">
      <c r="A12" s="5" t="inlineStr">
        <is>
          <t>REQ-010</t>
        </is>
      </c>
      <c r="B12" s="6" t="inlineStr">
        <is>
          <t>App móvil para clientes</t>
        </is>
      </c>
      <c r="C12" s="6" t="inlineStr">
        <is>
          <t>Clientes</t>
        </is>
      </c>
      <c r="D12" s="5" t="n">
        <v>2</v>
      </c>
      <c r="E12" s="5" t="n">
        <v>1</v>
      </c>
      <c r="F12" s="5">
        <f>D12*E12</f>
        <v/>
      </c>
      <c r="G12" s="6" t="inlineStr">
        <is>
          <t>🟢 BAJO</t>
        </is>
      </c>
      <c r="H12" s="5" t="inlineStr">
        <is>
          <t>Fase 3</t>
        </is>
      </c>
    </row>
    <row r="14">
      <c r="A14" s="20" t="inlineStr">
        <is>
          <t>Fórmula usada: Prioridad = Importancia × Urgencia  |  Escala: 20-25 = CRÍTICO (MVP)  |  12-16 = ALTO (MVP)  |  6-9 = MEDIO (Fase 2)  |  2 = BAJO (Fase 3)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6" customWidth="1" min="3" max="3"/>
    <col width="42" customWidth="1" min="4" max="4"/>
    <col width="12" customWidth="1" min="5" max="5"/>
    <col width="12" customWidth="1" min="6" max="6"/>
  </cols>
  <sheetData>
    <row r="1" ht="30" customHeight="1">
      <c r="A1" s="1" t="inlineStr">
        <is>
          <t>LISTA OFICIAL DE REQUISITOS — Sistema Supermercado La Esquina</t>
        </is>
      </c>
    </row>
    <row r="2" ht="22" customHeight="1">
      <c r="A2" s="2" t="inlineStr">
        <is>
          <t>ID</t>
        </is>
      </c>
      <c r="B2" s="2" t="inlineStr">
        <is>
          <t>Descripción del Requisito</t>
        </is>
      </c>
      <c r="C2" s="2" t="inlineStr">
        <is>
          <t>Tipo</t>
        </is>
      </c>
      <c r="D2" s="2" t="inlineStr">
        <is>
          <t>Fuente</t>
        </is>
      </c>
      <c r="E2" s="2" t="inlineStr">
        <is>
          <t>Prioridad</t>
        </is>
      </c>
      <c r="F2" s="2" t="inlineStr">
        <is>
          <t>Estado</t>
        </is>
      </c>
    </row>
    <row r="3" ht="35" customHeight="1">
      <c r="A3" s="21" t="inlineStr">
        <is>
          <t>REQ-001</t>
        </is>
      </c>
      <c r="B3" s="22" t="inlineStr">
        <is>
          <t>El sistema debe permitir registrar cada venta con producto, cantidad, precio y fecha en tiempo real.</t>
        </is>
      </c>
      <c r="C3" s="21" t="inlineStr">
        <is>
          <t>Funcional</t>
        </is>
      </c>
      <c r="D3" s="22" t="inlineStr">
        <is>
          <t>Entrevista – Carlos R. (Dueño); Encuesta 40%</t>
        </is>
      </c>
      <c r="E3" s="21" t="inlineStr">
        <is>
          <t>🔴 Alta</t>
        </is>
      </c>
      <c r="F3" s="21" t="inlineStr">
        <is>
          <t>Propuesto</t>
        </is>
      </c>
    </row>
    <row r="4" ht="35" customHeight="1">
      <c r="A4" s="23" t="inlineStr">
        <is>
          <t>REQ-002</t>
        </is>
      </c>
      <c r="B4" s="24" t="inlineStr">
        <is>
          <t>El sistema debe llevar control del inventario, actualizado automáticamente con cada venta registrada.</t>
        </is>
      </c>
      <c r="C4" s="23" t="inlineStr">
        <is>
          <t>Funcional</t>
        </is>
      </c>
      <c r="D4" s="24" t="inlineStr">
        <is>
          <t>Entrevista – Carlos R., Pedro S., María T. (Dueños)</t>
        </is>
      </c>
      <c r="E4" s="23" t="inlineStr">
        <is>
          <t>🔴 Alta</t>
        </is>
      </c>
      <c r="F4" s="23" t="inlineStr">
        <is>
          <t>Propuesto</t>
        </is>
      </c>
    </row>
    <row r="5" ht="35" customHeight="1">
      <c r="A5" s="21" t="inlineStr">
        <is>
          <t>REQ-003</t>
        </is>
      </c>
      <c r="B5" s="22" t="inlineStr">
        <is>
          <t>El sistema debe gestionar diferentes roles de usuario (administrador, cajero, empleado) con permisos diferenciados.</t>
        </is>
      </c>
      <c r="C5" s="21" t="inlineStr">
        <is>
          <t>Funcional</t>
        </is>
      </c>
      <c r="D5" s="22" t="inlineStr">
        <is>
          <t>Entrevista – Carlos R.; Observación directa</t>
        </is>
      </c>
      <c r="E5" s="21" t="inlineStr">
        <is>
          <t>🟠 Alta</t>
        </is>
      </c>
      <c r="F5" s="21" t="inlineStr">
        <is>
          <t>Propuesto</t>
        </is>
      </c>
    </row>
    <row r="6" ht="35" customHeight="1">
      <c r="A6" s="23" t="inlineStr">
        <is>
          <t>REQ-004</t>
        </is>
      </c>
      <c r="B6" s="24" t="inlineStr">
        <is>
          <t>El sistema debe generar alertas automáticas cuando el stock de un producto baje del nivel mínimo configurado.</t>
        </is>
      </c>
      <c r="C6" s="23" t="inlineStr">
        <is>
          <t>Funcional</t>
        </is>
      </c>
      <c r="D6" s="24" t="inlineStr">
        <is>
          <t>Entrevista – Carlos R. (cita: 'No sé cuándo se acaba hasta que ya no hay')</t>
        </is>
      </c>
      <c r="E6" s="23" t="inlineStr">
        <is>
          <t>🟠 Alta</t>
        </is>
      </c>
      <c r="F6" s="23" t="inlineStr">
        <is>
          <t>Propuesto</t>
        </is>
      </c>
    </row>
    <row r="7" ht="35" customHeight="1">
      <c r="A7" s="21" t="inlineStr">
        <is>
          <t>REQ-005</t>
        </is>
      </c>
      <c r="B7" s="22" t="inlineStr">
        <is>
          <t>El sistema debe generar reportes de ventas diarias, semanales y mensuales exportables en PDF/Excel.</t>
        </is>
      </c>
      <c r="C7" s="21" t="inlineStr">
        <is>
          <t>Funcional</t>
        </is>
      </c>
      <c r="D7" s="22" t="inlineStr">
        <is>
          <t>Entrevista – Andrés V. (Dueño); Encuesta 30%</t>
        </is>
      </c>
      <c r="E7" s="21" t="inlineStr">
        <is>
          <t>🟡 Media</t>
        </is>
      </c>
      <c r="F7" s="21" t="inlineStr">
        <is>
          <t>Propuesto</t>
        </is>
      </c>
    </row>
    <row r="8" ht="35" customHeight="1">
      <c r="A8" s="23" t="inlineStr">
        <is>
          <t>REQ-006</t>
        </is>
      </c>
      <c r="B8" s="24" t="inlineStr">
        <is>
          <t>El sistema debe soportar la emisión de facturas electrónicas según normativa DIAN vigente.</t>
        </is>
      </c>
      <c r="C8" s="23" t="inlineStr">
        <is>
          <t>Funcional</t>
        </is>
      </c>
      <c r="D8" s="24" t="inlineStr">
        <is>
          <t>Encuesta – Rosa H. (Cajera); 45% de encuestados a favor</t>
        </is>
      </c>
      <c r="E8" s="23" t="inlineStr">
        <is>
          <t>🟡 Media</t>
        </is>
      </c>
      <c r="F8" s="23" t="inlineStr">
        <is>
          <t>Propuesto</t>
        </is>
      </c>
    </row>
    <row r="9" ht="35" customHeight="1">
      <c r="A9" s="21" t="inlineStr">
        <is>
          <t>REQ-007</t>
        </is>
      </c>
      <c r="B9" s="22" t="inlineStr">
        <is>
          <t>El sistema debe registrar y gestionar la información de proveedores y órdenes de compra.</t>
        </is>
      </c>
      <c r="C9" s="21" t="inlineStr">
        <is>
          <t>Funcional</t>
        </is>
      </c>
      <c r="D9" s="22" t="inlineStr">
        <is>
          <t>Encuesta – Luis G. (Empleado); Observación</t>
        </is>
      </c>
      <c r="E9" s="21" t="inlineStr">
        <is>
          <t>🟡 Media</t>
        </is>
      </c>
      <c r="F9" s="21" t="inlineStr">
        <is>
          <t>Propuesto</t>
        </is>
      </c>
    </row>
    <row r="10" ht="35" customHeight="1">
      <c r="A10" s="23" t="inlineStr">
        <is>
          <t>REQ-008</t>
        </is>
      </c>
      <c r="B10" s="24" t="inlineStr">
        <is>
          <t>El sistema debe mostrar precios en tiempo real en pantallas externas visibles para los clientes.</t>
        </is>
      </c>
      <c r="C10" s="23" t="inlineStr">
        <is>
          <t>Funcional</t>
        </is>
      </c>
      <c r="D10" s="24" t="inlineStr">
        <is>
          <t>Encuesta – Clientes (3 de 8 clientes lo solicitaron)</t>
        </is>
      </c>
      <c r="E10" s="23" t="inlineStr">
        <is>
          <t>🟡 Media</t>
        </is>
      </c>
      <c r="F10" s="23" t="inlineStr">
        <is>
          <t>Propuesto</t>
        </is>
      </c>
    </row>
    <row r="11" ht="35" customHeight="1">
      <c r="A11" s="21" t="inlineStr">
        <is>
          <t>REQ-009</t>
        </is>
      </c>
      <c r="B11" s="22" t="inlineStr">
        <is>
          <t>El sistema debe soportar pagos con tarjeta débito y crédito integrados con datafono.</t>
        </is>
      </c>
      <c r="C11" s="21" t="inlineStr">
        <is>
          <t>Funcional</t>
        </is>
      </c>
      <c r="D11" s="22" t="inlineStr">
        <is>
          <t>Encuesta – Clientes (3 de 8 clientes lo solicitaron)</t>
        </is>
      </c>
      <c r="E11" s="21" t="inlineStr">
        <is>
          <t>🟡 Media</t>
        </is>
      </c>
      <c r="F11" s="21" t="inlineStr">
        <is>
          <t>Propuesto</t>
        </is>
      </c>
    </row>
    <row r="12" ht="35" customHeight="1">
      <c r="A12" s="23" t="inlineStr">
        <is>
          <t>REQ-010</t>
        </is>
      </c>
      <c r="B12" s="24" t="inlineStr">
        <is>
          <t>El sistema debe tener una interfaz sencilla y operable por personal sin formación técnica.</t>
        </is>
      </c>
      <c r="C12" s="23" t="inlineStr">
        <is>
          <t>No Funcional</t>
        </is>
      </c>
      <c r="D12" s="24" t="inlineStr">
        <is>
          <t>Observación directa; perfil de cajeras y empleados</t>
        </is>
      </c>
      <c r="E12" s="23" t="inlineStr">
        <is>
          <t>🔴 Alta</t>
        </is>
      </c>
      <c r="F12" s="23" t="inlineStr">
        <is>
          <t>Propuesto</t>
        </is>
      </c>
    </row>
    <row r="13" ht="35" customHeight="1">
      <c r="A13" s="21" t="inlineStr">
        <is>
          <t>REQ-011</t>
        </is>
      </c>
      <c r="B13" s="22" t="inlineStr">
        <is>
          <t>El sistema debe responder a cualquier consulta o registro en menos de 2 segundos bajo carga normal.</t>
        </is>
      </c>
      <c r="C13" s="21" t="inlineStr">
        <is>
          <t>No Funcional</t>
        </is>
      </c>
      <c r="D13" s="22" t="inlineStr">
        <is>
          <t>Estadísticas: 89 ventas/día máximo → rendimiento crítico</t>
        </is>
      </c>
      <c r="E13" s="21" t="inlineStr">
        <is>
          <t>🟠 Alta</t>
        </is>
      </c>
      <c r="F13" s="21" t="inlineStr">
        <is>
          <t>Propuesto</t>
        </is>
      </c>
    </row>
    <row r="14" ht="35" customHeight="1">
      <c r="A14" s="23" t="inlineStr">
        <is>
          <t>REQ-012</t>
        </is>
      </c>
      <c r="B14" s="24" t="inlineStr">
        <is>
          <t>El sistema debe estar disponible el 99% del tiempo durante horario laboral (6am–10pm).</t>
        </is>
      </c>
      <c r="C14" s="23" t="inlineStr">
        <is>
          <t>No Funcional</t>
        </is>
      </c>
      <c r="D14" s="24" t="inlineStr">
        <is>
          <t>Entrevista – Dueños; operación continua del negocio</t>
        </is>
      </c>
      <c r="E14" s="23" t="inlineStr">
        <is>
          <t>🟠 Alta</t>
        </is>
      </c>
      <c r="F14" s="23" t="inlineStr">
        <is>
          <t>Propuesto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30" customHeight="1">
      <c r="A1" s="1" t="inlineStr">
        <is>
          <t>GRÁFICAS DE ANÁLISIS — Supermercado La Esquina</t>
        </is>
      </c>
    </row>
    <row r="3">
      <c r="A3" s="25" t="inlineStr">
        <is>
          <t>Funcionalidad</t>
        </is>
      </c>
      <c r="B3" s="25" t="inlineStr">
        <is>
          <t>Conteo</t>
        </is>
      </c>
    </row>
    <row r="4">
      <c r="A4" s="26" t="inlineStr">
        <is>
          <t>Registro de ventas</t>
        </is>
      </c>
      <c r="B4" s="26" t="n">
        <v>8</v>
      </c>
    </row>
    <row r="5">
      <c r="A5" s="26" t="inlineStr">
        <is>
          <t>Control inventario</t>
        </is>
      </c>
      <c r="B5" s="26" t="n">
        <v>5</v>
      </c>
    </row>
    <row r="6">
      <c r="A6" s="26" t="inlineStr">
        <is>
          <t>Ver precios</t>
        </is>
      </c>
      <c r="B6" s="26" t="n">
        <v>3</v>
      </c>
    </row>
    <row r="7">
      <c r="A7" s="26" t="inlineStr">
        <is>
          <t>Pago tarjeta</t>
        </is>
      </c>
      <c r="B7" s="26" t="n">
        <v>3</v>
      </c>
    </row>
    <row r="8">
      <c r="A8" s="26" t="inlineStr">
        <is>
          <t>App clientes</t>
        </is>
      </c>
      <c r="B8" s="26" t="n">
        <v>2</v>
      </c>
    </row>
    <row r="9">
      <c r="A9" s="26" t="inlineStr">
        <is>
          <t>Factura electrónica</t>
        </is>
      </c>
      <c r="B9" s="26" t="n">
        <v>1</v>
      </c>
    </row>
    <row r="10">
      <c r="A10" s="26" t="inlineStr">
        <is>
          <t>Control proveedores</t>
        </is>
      </c>
      <c r="B10" s="26" t="n">
        <v>1</v>
      </c>
    </row>
    <row r="14">
      <c r="A14" s="27" t="inlineStr">
        <is>
          <t>Rol</t>
        </is>
      </c>
      <c r="B14" s="27" t="inlineStr">
        <is>
          <t>Participantes</t>
        </is>
      </c>
    </row>
    <row r="15">
      <c r="A15" s="26" t="inlineStr">
        <is>
          <t>Dueño/a</t>
        </is>
      </c>
      <c r="B15" s="26" t="n">
        <v>4</v>
      </c>
    </row>
    <row r="16">
      <c r="A16" s="26" t="inlineStr">
        <is>
          <t>Cajera</t>
        </is>
      </c>
      <c r="B16" s="26" t="n">
        <v>4</v>
      </c>
    </row>
    <row r="17">
      <c r="A17" s="26" t="inlineStr">
        <is>
          <t>Empleado</t>
        </is>
      </c>
      <c r="B17" s="26" t="n">
        <v>3</v>
      </c>
    </row>
    <row r="18">
      <c r="A18" s="26" t="inlineStr">
        <is>
          <t>Cliente</t>
        </is>
      </c>
      <c r="B18" s="26" t="n">
        <v>8</v>
      </c>
    </row>
    <row r="27">
      <c r="A27" s="28" t="inlineStr">
        <is>
          <t>Participante</t>
        </is>
      </c>
      <c r="B27" s="28" t="inlineStr">
        <is>
          <t>Ventas/día</t>
        </is>
      </c>
    </row>
    <row r="28">
      <c r="A28" s="26" t="inlineStr">
        <is>
          <t>Carlos R.</t>
        </is>
      </c>
      <c r="B28" s="26" t="n">
        <v>50</v>
      </c>
    </row>
    <row r="29">
      <c r="A29" s="26" t="inlineStr">
        <is>
          <t>Pedro S.</t>
        </is>
      </c>
      <c r="B29" s="26" t="n">
        <v>65</v>
      </c>
    </row>
    <row r="30">
      <c r="A30" s="26" t="inlineStr">
        <is>
          <t>María T.</t>
        </is>
      </c>
      <c r="B30" s="26" t="n">
        <v>72</v>
      </c>
    </row>
    <row r="31">
      <c r="A31" s="26" t="inlineStr">
        <is>
          <t>Andrés V.</t>
        </is>
      </c>
      <c r="B31" s="26" t="n">
        <v>89</v>
      </c>
    </row>
    <row r="32">
      <c r="A32" s="26" t="inlineStr">
        <is>
          <t>Martha R.</t>
        </is>
      </c>
      <c r="B32" s="26" t="n">
        <v>50</v>
      </c>
    </row>
    <row r="33">
      <c r="A33" s="26" t="inlineStr">
        <is>
          <t>Ana M.</t>
        </is>
      </c>
      <c r="B33" s="26" t="n">
        <v>45</v>
      </c>
    </row>
    <row r="34">
      <c r="A34" s="26" t="inlineStr">
        <is>
          <t>Rosa H.</t>
        </is>
      </c>
      <c r="B34" s="26" t="n">
        <v>55</v>
      </c>
    </row>
    <row r="35">
      <c r="A35" s="26" t="inlineStr">
        <is>
          <t>Clara B.</t>
        </is>
      </c>
      <c r="B35" s="26" t="n">
        <v>22</v>
      </c>
    </row>
    <row r="36">
      <c r="A36" s="26" t="inlineStr">
        <is>
          <t>Julián P.</t>
        </is>
      </c>
      <c r="B36" s="26" t="n">
        <v>50</v>
      </c>
    </row>
    <row r="37">
      <c r="A37" s="26" t="inlineStr">
        <is>
          <t>Luis G.</t>
        </is>
      </c>
      <c r="B37" s="26" t="n">
        <v>45</v>
      </c>
    </row>
    <row r="38">
      <c r="A38" s="26" t="inlineStr">
        <is>
          <t>Jorge C.</t>
        </is>
      </c>
      <c r="B38" s="26" t="n">
        <v>55</v>
      </c>
    </row>
    <row r="39">
      <c r="A39" s="26" t="inlineStr">
        <is>
          <t>Fernando L.</t>
        </is>
      </c>
      <c r="B39" s="26" t="n">
        <v>60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2026-04-11T14:31:20Z</dcterms:created>
  <dcterms:modified xmlns:dcterms="http://purl.org/dc/terms/" xmlns:xsi="http://www.w3.org/2001/XMLSchema-instance" xsi:type="dcterms:W3CDTF">2026-04-11T14:31:20Z</dcterms:modified>
</cp:coreProperties>
</file>